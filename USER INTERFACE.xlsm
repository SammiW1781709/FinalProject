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My Drive\Final Year Project\"/>
    </mc:Choice>
  </mc:AlternateContent>
  <xr:revisionPtr revIDLastSave="0" documentId="13_ncr:1_{CEB3FFF6-9122-442B-9969-34DE86BE3CE1}" xr6:coauthVersionLast="47" xr6:coauthVersionMax="47" xr10:uidLastSave="{00000000-0000-0000-0000-000000000000}"/>
  <bookViews>
    <workbookView xWindow="-98" yWindow="-98" windowWidth="21795" windowHeight="13096" xr2:uid="{4EEF80CC-2487-C841-A5FA-0C982A2A84CA}"/>
  </bookViews>
  <sheets>
    <sheet name="Class 1 " sheetId="10" r:id="rId1"/>
    <sheet name="Create Schedule" sheetId="12" r:id="rId2"/>
    <sheet name="Schedule" sheetId="14" r:id="rId3"/>
    <sheet name="PARENTS" sheetId="15" r:id="rId4"/>
  </sheets>
  <definedNames>
    <definedName name="Name">'Class 1 '!$B$4:$B$29</definedName>
    <definedName name="solver_adj" localSheetId="0" hidden="1">'Class 1 '!$G$4:$G$29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itr" localSheetId="0" hidden="1">2147483647</definedName>
    <definedName name="solver_lhs1" localSheetId="0" hidden="1">'Class 1 '!$G$13:$G$20</definedName>
    <definedName name="solver_lhs2" localSheetId="0" hidden="1">'Class 1 '!$G$21:$G$29</definedName>
    <definedName name="solver_lhs3" localSheetId="0" hidden="1">'Class 1 '!$G$4:$G$12</definedName>
    <definedName name="solver_lhs4" localSheetId="0" hidden="1">'Class 1 '!$J$3</definedName>
    <definedName name="solver_lhs5" localSheetId="0" hidden="1">'Class 1 '!$J$3</definedName>
    <definedName name="solver_lin" localSheetId="0" hidden="1">2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4</definedName>
    <definedName name="solver_opt" localSheetId="0" hidden="1">'Class 1 '!$J$3</definedName>
    <definedName name="solver_pre" localSheetId="0" hidden="1">0.000001</definedName>
    <definedName name="solver_rbv" localSheetId="0" hidden="1">1</definedName>
    <definedName name="solver_rel1" localSheetId="0" hidden="1">2</definedName>
    <definedName name="solver_rel2" localSheetId="0" hidden="1">2</definedName>
    <definedName name="solver_rel3" localSheetId="0" hidden="1">2</definedName>
    <definedName name="solver_rel4" localSheetId="0" hidden="1">1</definedName>
    <definedName name="solver_rel5" localSheetId="0" hidden="1">1</definedName>
    <definedName name="solver_rhs1" localSheetId="0" hidden="1">'Class 1 '!$P$4</definedName>
    <definedName name="solver_rhs2" localSheetId="0" hidden="1">'Class 1 '!$P$5</definedName>
    <definedName name="solver_rhs3" localSheetId="0" hidden="1">'Class 1 '!$P$3</definedName>
    <definedName name="solver_rhs4" localSheetId="0" hidden="1">240</definedName>
    <definedName name="solver_rhs5" localSheetId="0" hidden="1">240</definedName>
    <definedName name="solver_rlx" localSheetId="0" hidden="1">1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val" localSheetId="0" hidden="1">240</definedName>
    <definedName name="solver_ver" localSheetId="0" hidden="1">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14" l="1"/>
  <c r="C5" i="15"/>
  <c r="G9" i="15" a="1"/>
  <c r="G9" i="15" s="1"/>
  <c r="C6" i="15"/>
  <c r="H19" i="15" l="1"/>
  <c r="H18" i="15"/>
  <c r="H17" i="15"/>
  <c r="H16" i="15"/>
  <c r="H27" i="15"/>
  <c r="H26" i="15"/>
  <c r="H25" i="15"/>
  <c r="H9" i="15"/>
  <c r="H23" i="15"/>
  <c r="H34" i="15"/>
  <c r="H10" i="15"/>
  <c r="H21" i="15"/>
  <c r="H32" i="15"/>
  <c r="H20" i="15"/>
  <c r="H30" i="15"/>
  <c r="H29" i="15"/>
  <c r="H28" i="15"/>
  <c r="H15" i="15"/>
  <c r="H14" i="15"/>
  <c r="H13" i="15"/>
  <c r="H24" i="15"/>
  <c r="H12" i="15"/>
  <c r="H11" i="15"/>
  <c r="H22" i="15"/>
  <c r="H33" i="15"/>
  <c r="H31" i="15"/>
  <c r="D8" i="14" l="1"/>
  <c r="D9" i="14" s="1"/>
  <c r="D10" i="14" s="1"/>
  <c r="D11" i="14" s="1"/>
  <c r="D12" i="14" s="1"/>
  <c r="D13" i="14" s="1"/>
  <c r="D14" i="14" s="1"/>
  <c r="D15" i="14" s="1"/>
  <c r="D16" i="14" s="1"/>
  <c r="D17" i="14" s="1"/>
  <c r="D18" i="14" s="1"/>
  <c r="D19" i="14" s="1"/>
  <c r="D20" i="14" s="1"/>
  <c r="D21" i="14" s="1"/>
  <c r="D22" i="14" s="1"/>
  <c r="D23" i="14" s="1"/>
  <c r="D24" i="14" s="1"/>
  <c r="D25" i="14" s="1"/>
  <c r="D26" i="14" s="1"/>
  <c r="D27" i="14" s="1"/>
  <c r="D28" i="14" s="1"/>
  <c r="D29" i="14" s="1"/>
  <c r="D30" i="14" s="1"/>
  <c r="D31" i="14" s="1"/>
  <c r="D7" i="14"/>
  <c r="F6" i="14"/>
  <c r="J3" i="10"/>
  <c r="J2" i="10"/>
  <c r="E7" i="14" l="1"/>
  <c r="F7" i="14" s="1"/>
  <c r="E8" i="14" s="1"/>
  <c r="F8" i="14" s="1"/>
  <c r="E9" i="14" s="1"/>
  <c r="F9" i="14" s="1"/>
  <c r="E10" i="14" s="1"/>
  <c r="F10" i="14" s="1"/>
  <c r="E11" i="14" s="1"/>
  <c r="F11" i="14" s="1"/>
  <c r="E12" i="14" s="1"/>
  <c r="F12" i="14" s="1"/>
  <c r="E13" i="14" s="1"/>
  <c r="F13" i="14" s="1"/>
  <c r="E14" i="14" s="1"/>
  <c r="F14" i="14" s="1"/>
  <c r="E15" i="14" s="1"/>
  <c r="F15" i="14" s="1"/>
  <c r="E16" i="14" s="1"/>
  <c r="F16" i="14" s="1"/>
  <c r="E17" i="14" s="1"/>
  <c r="F17" i="14" s="1"/>
  <c r="E18" i="14" s="1"/>
  <c r="F18" i="14" s="1"/>
  <c r="E19" i="14" s="1"/>
  <c r="F19" i="14" s="1"/>
  <c r="E20" i="14" s="1"/>
  <c r="F20" i="14" s="1"/>
  <c r="E21" i="14" s="1"/>
  <c r="F21" i="14" s="1"/>
  <c r="E22" i="14" s="1"/>
  <c r="F22" i="14" s="1"/>
  <c r="E23" i="14" s="1"/>
  <c r="F23" i="14" s="1"/>
  <c r="E24" i="14" s="1"/>
  <c r="F24" i="14" s="1"/>
  <c r="E25" i="14" s="1"/>
  <c r="F25" i="14" s="1"/>
  <c r="E26" i="14" s="1"/>
  <c r="F26" i="14" s="1"/>
  <c r="E27" i="14" s="1"/>
  <c r="F27" i="14" s="1"/>
  <c r="E28" i="14" s="1"/>
  <c r="F28" i="14" s="1"/>
  <c r="E29" i="14" s="1"/>
  <c r="F29" i="14" s="1"/>
  <c r="E30" i="14" s="1"/>
  <c r="F30" i="14" s="1"/>
  <c r="E31" i="14" s="1"/>
  <c r="F31" i="14" s="1"/>
  <c r="F33" i="14" l="1"/>
  <c r="C7" i="12"/>
  <c r="E9" i="15" a="1"/>
  <c r="E9" i="1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<sst xmlns="http://schemas.openxmlformats.org/spreadsheetml/2006/main" count="125" uniqueCount="96">
  <si>
    <t xml:space="preserve">Teacher meetings </t>
  </si>
  <si>
    <t xml:space="preserve">NAME </t>
  </si>
  <si>
    <t xml:space="preserve">SURNAME </t>
  </si>
  <si>
    <t>DOB</t>
  </si>
  <si>
    <t xml:space="preserve">progression </t>
  </si>
  <si>
    <t>Abigail</t>
  </si>
  <si>
    <t>Torres</t>
  </si>
  <si>
    <t>12/15/2012</t>
  </si>
  <si>
    <t>WA</t>
  </si>
  <si>
    <t>Alexander</t>
  </si>
  <si>
    <t>Cruz</t>
  </si>
  <si>
    <t>Amelia</t>
  </si>
  <si>
    <t>Hernandez</t>
  </si>
  <si>
    <t>5/25/2012</t>
  </si>
  <si>
    <t>AT</t>
  </si>
  <si>
    <t>Ava</t>
  </si>
  <si>
    <t>Davis</t>
  </si>
  <si>
    <t>12/25/2012</t>
  </si>
  <si>
    <t>Benjamin</t>
  </si>
  <si>
    <t>Martinez</t>
  </si>
  <si>
    <t>Charlotte</t>
  </si>
  <si>
    <t>Garcia</t>
  </si>
  <si>
    <t>2/14/2013</t>
  </si>
  <si>
    <t>Daniel</t>
  </si>
  <si>
    <t>Young</t>
  </si>
  <si>
    <t>10/25/2011</t>
  </si>
  <si>
    <t>Elijah</t>
  </si>
  <si>
    <t>Miller</t>
  </si>
  <si>
    <t>WB</t>
  </si>
  <si>
    <t>Elizabeth</t>
  </si>
  <si>
    <t>Scott</t>
  </si>
  <si>
    <t>9/19/2012</t>
  </si>
  <si>
    <t>Ramirez</t>
  </si>
  <si>
    <t>Emma</t>
  </si>
  <si>
    <t>Smith</t>
  </si>
  <si>
    <t>Ethan</t>
  </si>
  <si>
    <t>Perez</t>
  </si>
  <si>
    <t>Evelyn</t>
  </si>
  <si>
    <t>King</t>
  </si>
  <si>
    <t>12/31/2012</t>
  </si>
  <si>
    <t>Grace</t>
  </si>
  <si>
    <t>Nguyen</t>
  </si>
  <si>
    <t>4/15/2011</t>
  </si>
  <si>
    <t>Harper</t>
  </si>
  <si>
    <t>Gonzalez</t>
  </si>
  <si>
    <t>James</t>
  </si>
  <si>
    <t>Taylor</t>
  </si>
  <si>
    <t>7/18/2012</t>
  </si>
  <si>
    <t>Liam</t>
  </si>
  <si>
    <t>Williams</t>
  </si>
  <si>
    <t>8/20/2011</t>
  </si>
  <si>
    <t>Logan</t>
  </si>
  <si>
    <t>Lopez</t>
  </si>
  <si>
    <t>Lucas</t>
  </si>
  <si>
    <t>Baker</t>
  </si>
  <si>
    <t>Mason</t>
  </si>
  <si>
    <t>Rodriguez</t>
  </si>
  <si>
    <t>4/20/2011</t>
  </si>
  <si>
    <t>Mia</t>
  </si>
  <si>
    <t>Anderson</t>
  </si>
  <si>
    <t>10/30/2011</t>
  </si>
  <si>
    <t>Michael</t>
  </si>
  <si>
    <t>Flores</t>
  </si>
  <si>
    <t>3/22/2011</t>
  </si>
  <si>
    <t>Noah</t>
  </si>
  <si>
    <t>Johnson</t>
  </si>
  <si>
    <t>Olivia</t>
  </si>
  <si>
    <t>Brown</t>
  </si>
  <si>
    <t>9/15/2012</t>
  </si>
  <si>
    <t>Sophia</t>
  </si>
  <si>
    <t>Wilson</t>
  </si>
  <si>
    <t>William</t>
  </si>
  <si>
    <t>Jones</t>
  </si>
  <si>
    <t xml:space="preserve">Number of meeting </t>
  </si>
  <si>
    <t xml:space="preserve">duration </t>
  </si>
  <si>
    <t xml:space="preserve">CONSTRAINTS </t>
  </si>
  <si>
    <t>=</t>
  </si>
  <si>
    <t>SELECT CLASS</t>
  </si>
  <si>
    <t>DATE</t>
  </si>
  <si>
    <t>START TIME</t>
  </si>
  <si>
    <t xml:space="preserve">Meeting </t>
  </si>
  <si>
    <t xml:space="preserve">Start </t>
  </si>
  <si>
    <t xml:space="preserve">End </t>
  </si>
  <si>
    <t xml:space="preserve">total </t>
  </si>
  <si>
    <t>Duration</t>
  </si>
  <si>
    <t xml:space="preserve">Parent name </t>
  </si>
  <si>
    <t xml:space="preserve">Student name </t>
  </si>
  <si>
    <t>Class</t>
  </si>
  <si>
    <t xml:space="preserve">Required time </t>
  </si>
  <si>
    <t>CLASS</t>
  </si>
  <si>
    <t xml:space="preserve">Duration </t>
  </si>
  <si>
    <t xml:space="preserve">DURTAION </t>
  </si>
  <si>
    <t>sohpia</t>
  </si>
  <si>
    <t>Meeting 1: 02:00 PM - 02:15 PM  Attending with:John</t>
  </si>
  <si>
    <t>Meeting 9: 04:00 PM - 04:15 PM  Attending with:John</t>
  </si>
  <si>
    <t>Meeting 15: 04:40 PM - 04:45 PM  Attending with:John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</si>
</sst>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3" x14ac:knownFonts="1">
    <font>
      <sz val="12"/>
      <color theme="1"/>
      <name val="Calibri"/>
      <family val="2"/>
      <scheme val="minor"/>
    </font>
    <font>
      <sz val="10.5"/>
      <color rgb="FF0D0D0D"/>
      <name val="Arial"/>
      <family val="2"/>
    </font>
    <font>
      <sz val="12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 applyAlignment="1">
      <alignment horizontal="left"/>
    </xf>
    <xf numFmtId="14" fontId="1" fillId="0" borderId="0" xfId="0" applyNumberFormat="1" applyFont="1" applyAlignment="1">
      <alignment horizontal="left"/>
    </xf>
    <xf numFmtId="164" fontId="0" fillId="0" borderId="0" xfId="0" applyNumberFormat="1"/>
    <xf numFmtId="0" fontId="2" fillId="0" borderId="0" xfId="0" applyFont="1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5BB708-2CFE-494E-916F-E9714F251E65}">
  <sheetPr codeName="Sheet1"/>
  <dimension ref="B1:P29"/>
  <sheetViews>
    <sheetView tabSelected="1" zoomScale="85" zoomScaleNormal="85" workbookViewId="0">
      <selection activeCell="B4" sqref="B4:B29"/>
    </sheetView>
  </sheetViews>
  <sheetFormatPr defaultColWidth="11" defaultRowHeight="15.75" x14ac:dyDescent="0.5"/>
  <cols>
    <col min="6" max="6" width="20.1875" customWidth="1"/>
    <col min="7" max="7" width="18.8125" customWidth="1"/>
    <col min="8" max="8" width="21.6875" customWidth="1"/>
    <col min="9" max="9" width="17.6875" customWidth="1"/>
    <col min="14" max="14" width="14.6875" customWidth="1"/>
  </cols>
  <sheetData>
    <row r="1" spans="2:16" x14ac:dyDescent="0.5">
      <c r="N1" t="s">
        <v>75</v>
      </c>
    </row>
    <row r="2" spans="2:16" x14ac:dyDescent="0.5">
      <c r="I2" t="s">
        <v>73</v>
      </c>
      <c r="J2">
        <f>SUMPRODUCT(F4:F29)</f>
        <v>26</v>
      </c>
    </row>
    <row r="3" spans="2:16" x14ac:dyDescent="0.5">
      <c r="B3" t="s">
        <v>1</v>
      </c>
      <c r="C3" t="s">
        <v>2</v>
      </c>
      <c r="D3" t="s">
        <v>3</v>
      </c>
      <c r="E3" t="s">
        <v>4</v>
      </c>
      <c r="F3" t="s">
        <v>0</v>
      </c>
      <c r="G3" t="s">
        <v>91</v>
      </c>
      <c r="H3" s="4" t="s">
        <v>89</v>
      </c>
      <c r="I3" t="s">
        <v>74</v>
      </c>
      <c r="J3">
        <f>SUM(G4:G29)</f>
        <v>265</v>
      </c>
      <c r="N3" t="s">
        <v>28</v>
      </c>
      <c r="O3" t="s">
        <v>76</v>
      </c>
      <c r="P3">
        <v>15</v>
      </c>
    </row>
    <row r="4" spans="2:16" x14ac:dyDescent="0.5">
      <c r="B4" s="1" t="s">
        <v>26</v>
      </c>
      <c r="C4" s="1" t="s">
        <v>27</v>
      </c>
      <c r="D4" s="2">
        <v>41124</v>
      </c>
      <c r="E4" s="1" t="s">
        <v>28</v>
      </c>
      <c r="F4">
        <v>1</v>
      </c>
      <c r="G4">
        <v>15</v>
      </c>
      <c r="H4" s="4">
        <v>1</v>
      </c>
      <c r="N4" t="s">
        <v>8</v>
      </c>
      <c r="O4" t="s">
        <v>76</v>
      </c>
      <c r="P4">
        <v>5</v>
      </c>
    </row>
    <row r="5" spans="2:16" x14ac:dyDescent="0.5">
      <c r="B5" s="1" t="s">
        <v>29</v>
      </c>
      <c r="C5" s="1" t="s">
        <v>30</v>
      </c>
      <c r="D5" s="1" t="s">
        <v>31</v>
      </c>
      <c r="E5" s="1" t="s">
        <v>28</v>
      </c>
      <c r="F5">
        <v>1</v>
      </c>
      <c r="G5">
        <v>15</v>
      </c>
      <c r="H5" s="4">
        <v>1</v>
      </c>
      <c r="N5" t="s">
        <v>14</v>
      </c>
      <c r="O5" t="s">
        <v>76</v>
      </c>
      <c r="P5">
        <v>10</v>
      </c>
    </row>
    <row r="6" spans="2:16" x14ac:dyDescent="0.5">
      <c r="B6" s="1" t="s">
        <v>43</v>
      </c>
      <c r="C6" s="1" t="s">
        <v>44</v>
      </c>
      <c r="D6" s="2">
        <v>41161</v>
      </c>
      <c r="E6" s="1" t="s">
        <v>28</v>
      </c>
      <c r="F6">
        <v>1</v>
      </c>
      <c r="G6">
        <v>15</v>
      </c>
      <c r="H6" s="4">
        <v>1</v>
      </c>
    </row>
    <row r="7" spans="2:16" x14ac:dyDescent="0.5">
      <c r="B7" s="1" t="s">
        <v>53</v>
      </c>
      <c r="C7" s="1" t="s">
        <v>54</v>
      </c>
      <c r="D7" s="2">
        <v>41154</v>
      </c>
      <c r="E7" s="1" t="s">
        <v>28</v>
      </c>
      <c r="F7">
        <v>1</v>
      </c>
      <c r="G7">
        <v>15</v>
      </c>
      <c r="H7" s="4">
        <v>1</v>
      </c>
    </row>
    <row r="8" spans="2:16" x14ac:dyDescent="0.5">
      <c r="B8" s="1" t="s">
        <v>55</v>
      </c>
      <c r="C8" s="1" t="s">
        <v>56</v>
      </c>
      <c r="D8" s="1" t="s">
        <v>57</v>
      </c>
      <c r="E8" s="1" t="s">
        <v>28</v>
      </c>
      <c r="F8">
        <v>1</v>
      </c>
      <c r="G8">
        <v>15</v>
      </c>
      <c r="H8" s="4">
        <v>1</v>
      </c>
    </row>
    <row r="9" spans="2:16" x14ac:dyDescent="0.5">
      <c r="B9" s="1" t="s">
        <v>58</v>
      </c>
      <c r="C9" s="1" t="s">
        <v>59</v>
      </c>
      <c r="D9" s="1" t="s">
        <v>60</v>
      </c>
      <c r="E9" s="1" t="s">
        <v>28</v>
      </c>
      <c r="F9">
        <v>1</v>
      </c>
      <c r="G9">
        <v>15</v>
      </c>
      <c r="H9" s="4">
        <v>1</v>
      </c>
    </row>
    <row r="10" spans="2:16" x14ac:dyDescent="0.5">
      <c r="B10" s="1" t="s">
        <v>61</v>
      </c>
      <c r="C10" s="1" t="s">
        <v>62</v>
      </c>
      <c r="D10" s="1" t="s">
        <v>63</v>
      </c>
      <c r="E10" s="1" t="s">
        <v>28</v>
      </c>
      <c r="F10">
        <v>1</v>
      </c>
      <c r="G10">
        <v>15</v>
      </c>
      <c r="H10" s="4">
        <v>1</v>
      </c>
    </row>
    <row r="11" spans="2:16" x14ac:dyDescent="0.5">
      <c r="B11" s="1" t="s">
        <v>64</v>
      </c>
      <c r="C11" s="1" t="s">
        <v>65</v>
      </c>
      <c r="D11" s="2">
        <v>41399</v>
      </c>
      <c r="E11" s="1" t="s">
        <v>28</v>
      </c>
      <c r="F11">
        <v>1</v>
      </c>
      <c r="G11">
        <v>15</v>
      </c>
      <c r="H11" s="4">
        <v>1</v>
      </c>
    </row>
    <row r="12" spans="2:16" x14ac:dyDescent="0.5">
      <c r="B12" s="1" t="s">
        <v>66</v>
      </c>
      <c r="C12" s="1" t="s">
        <v>67</v>
      </c>
      <c r="D12" s="1" t="s">
        <v>68</v>
      </c>
      <c r="E12" s="1" t="s">
        <v>28</v>
      </c>
      <c r="F12">
        <v>1</v>
      </c>
      <c r="G12">
        <v>15</v>
      </c>
      <c r="H12" s="4">
        <v>1</v>
      </c>
    </row>
    <row r="13" spans="2:16" x14ac:dyDescent="0.5">
      <c r="B13" s="1" t="s">
        <v>5</v>
      </c>
      <c r="C13" s="1" t="s">
        <v>6</v>
      </c>
      <c r="D13" s="1" t="s">
        <v>7</v>
      </c>
      <c r="E13" s="1" t="s">
        <v>8</v>
      </c>
      <c r="F13">
        <v>1</v>
      </c>
      <c r="G13">
        <v>5</v>
      </c>
      <c r="H13" s="4">
        <v>1</v>
      </c>
    </row>
    <row r="14" spans="2:16" x14ac:dyDescent="0.5">
      <c r="B14" s="1" t="s">
        <v>9</v>
      </c>
      <c r="C14" s="1" t="s">
        <v>10</v>
      </c>
      <c r="D14" s="2">
        <v>40731</v>
      </c>
      <c r="E14" s="1" t="s">
        <v>8</v>
      </c>
      <c r="F14">
        <v>1</v>
      </c>
      <c r="G14">
        <v>5</v>
      </c>
      <c r="H14" s="4">
        <v>1</v>
      </c>
    </row>
    <row r="15" spans="2:16" x14ac:dyDescent="0.5">
      <c r="B15" s="1" t="s">
        <v>15</v>
      </c>
      <c r="C15" s="1" t="s">
        <v>16</v>
      </c>
      <c r="D15" s="1" t="s">
        <v>17</v>
      </c>
      <c r="E15" s="1" t="s">
        <v>8</v>
      </c>
      <c r="F15">
        <v>1</v>
      </c>
      <c r="G15">
        <v>5</v>
      </c>
      <c r="H15" s="4">
        <v>1</v>
      </c>
    </row>
    <row r="16" spans="2:16" x14ac:dyDescent="0.5">
      <c r="B16" s="1" t="s">
        <v>20</v>
      </c>
      <c r="C16" s="1" t="s">
        <v>21</v>
      </c>
      <c r="D16" s="1" t="s">
        <v>22</v>
      </c>
      <c r="E16" s="1" t="s">
        <v>8</v>
      </c>
      <c r="F16">
        <v>1</v>
      </c>
      <c r="G16">
        <v>5</v>
      </c>
      <c r="H16" s="4">
        <v>1</v>
      </c>
    </row>
    <row r="17" spans="2:8" x14ac:dyDescent="0.5">
      <c r="B17" s="1" t="s">
        <v>37</v>
      </c>
      <c r="C17" s="1" t="s">
        <v>38</v>
      </c>
      <c r="D17" s="1" t="s">
        <v>39</v>
      </c>
      <c r="E17" s="1" t="s">
        <v>8</v>
      </c>
      <c r="F17">
        <v>1</v>
      </c>
      <c r="G17">
        <v>5</v>
      </c>
      <c r="H17" s="4">
        <v>1</v>
      </c>
    </row>
    <row r="18" spans="2:8" x14ac:dyDescent="0.5">
      <c r="B18" s="1" t="s">
        <v>45</v>
      </c>
      <c r="C18" s="1" t="s">
        <v>46</v>
      </c>
      <c r="D18" s="1" t="s">
        <v>47</v>
      </c>
      <c r="E18" s="1" t="s">
        <v>8</v>
      </c>
      <c r="F18">
        <v>1</v>
      </c>
      <c r="G18">
        <v>5</v>
      </c>
      <c r="H18" s="4">
        <v>1</v>
      </c>
    </row>
    <row r="19" spans="2:8" x14ac:dyDescent="0.5">
      <c r="B19" s="1" t="s">
        <v>48</v>
      </c>
      <c r="C19" s="1" t="s">
        <v>49</v>
      </c>
      <c r="D19" s="1" t="s">
        <v>50</v>
      </c>
      <c r="E19" s="1" t="s">
        <v>8</v>
      </c>
      <c r="F19">
        <v>1</v>
      </c>
      <c r="G19">
        <v>5</v>
      </c>
      <c r="H19" s="4">
        <v>1</v>
      </c>
    </row>
    <row r="20" spans="2:8" x14ac:dyDescent="0.5">
      <c r="B20" s="1" t="s">
        <v>51</v>
      </c>
      <c r="C20" s="1" t="s">
        <v>52</v>
      </c>
      <c r="D20" s="2">
        <v>40610</v>
      </c>
      <c r="E20" s="1" t="s">
        <v>8</v>
      </c>
      <c r="F20">
        <v>1</v>
      </c>
      <c r="G20">
        <v>5</v>
      </c>
      <c r="H20" s="4">
        <v>1</v>
      </c>
    </row>
    <row r="21" spans="2:8" x14ac:dyDescent="0.5">
      <c r="B21" s="1" t="s">
        <v>11</v>
      </c>
      <c r="C21" s="1" t="s">
        <v>12</v>
      </c>
      <c r="D21" s="1" t="s">
        <v>13</v>
      </c>
      <c r="E21" s="1" t="s">
        <v>14</v>
      </c>
      <c r="F21">
        <v>1</v>
      </c>
      <c r="G21">
        <v>10</v>
      </c>
      <c r="H21" s="4">
        <v>1</v>
      </c>
    </row>
    <row r="22" spans="2:8" x14ac:dyDescent="0.5">
      <c r="B22" s="1" t="s">
        <v>18</v>
      </c>
      <c r="C22" s="1" t="s">
        <v>19</v>
      </c>
      <c r="D22" s="2">
        <v>41091</v>
      </c>
      <c r="E22" s="1" t="s">
        <v>14</v>
      </c>
      <c r="F22">
        <v>1</v>
      </c>
      <c r="G22">
        <v>10</v>
      </c>
      <c r="H22" s="4">
        <v>1</v>
      </c>
    </row>
    <row r="23" spans="2:8" x14ac:dyDescent="0.5">
      <c r="B23" s="1" t="s">
        <v>23</v>
      </c>
      <c r="C23" s="1" t="s">
        <v>24</v>
      </c>
      <c r="D23" s="1" t="s">
        <v>25</v>
      </c>
      <c r="E23" s="1" t="s">
        <v>14</v>
      </c>
      <c r="F23">
        <v>1</v>
      </c>
      <c r="G23">
        <v>10</v>
      </c>
      <c r="H23" s="4">
        <v>1</v>
      </c>
    </row>
    <row r="24" spans="2:8" x14ac:dyDescent="0.5">
      <c r="B24" s="1" t="s">
        <v>92</v>
      </c>
      <c r="C24" s="1" t="s">
        <v>32</v>
      </c>
      <c r="D24" s="2">
        <v>40945</v>
      </c>
      <c r="E24" s="1" t="s">
        <v>14</v>
      </c>
      <c r="F24">
        <v>1</v>
      </c>
      <c r="G24">
        <v>10</v>
      </c>
      <c r="H24" s="4">
        <v>1</v>
      </c>
    </row>
    <row r="25" spans="2:8" x14ac:dyDescent="0.5">
      <c r="B25" s="1" t="s">
        <v>33</v>
      </c>
      <c r="C25" s="1" t="s">
        <v>34</v>
      </c>
      <c r="D25" s="2">
        <v>41188</v>
      </c>
      <c r="E25" s="1" t="s">
        <v>14</v>
      </c>
      <c r="F25">
        <v>1</v>
      </c>
      <c r="G25">
        <v>10</v>
      </c>
      <c r="H25" s="4">
        <v>1</v>
      </c>
    </row>
    <row r="26" spans="2:8" x14ac:dyDescent="0.5">
      <c r="B26" s="1" t="s">
        <v>35</v>
      </c>
      <c r="C26" s="1" t="s">
        <v>36</v>
      </c>
      <c r="D26" s="2">
        <v>40888</v>
      </c>
      <c r="E26" s="1" t="s">
        <v>14</v>
      </c>
      <c r="F26">
        <v>1</v>
      </c>
      <c r="G26">
        <v>10</v>
      </c>
      <c r="H26" s="4">
        <v>1</v>
      </c>
    </row>
    <row r="27" spans="2:8" x14ac:dyDescent="0.5">
      <c r="B27" s="1" t="s">
        <v>40</v>
      </c>
      <c r="C27" s="1" t="s">
        <v>41</v>
      </c>
      <c r="D27" s="1" t="s">
        <v>42</v>
      </c>
      <c r="E27" s="1" t="s">
        <v>14</v>
      </c>
      <c r="F27">
        <v>1</v>
      </c>
      <c r="G27">
        <v>10</v>
      </c>
      <c r="H27" s="4">
        <v>1</v>
      </c>
    </row>
    <row r="28" spans="2:8" x14ac:dyDescent="0.5">
      <c r="B28" s="1" t="s">
        <v>69</v>
      </c>
      <c r="C28" s="1" t="s">
        <v>70</v>
      </c>
      <c r="D28" s="2">
        <v>40881</v>
      </c>
      <c r="E28" s="1" t="s">
        <v>14</v>
      </c>
      <c r="F28">
        <v>1</v>
      </c>
      <c r="G28">
        <v>10</v>
      </c>
      <c r="H28" s="4">
        <v>1</v>
      </c>
    </row>
    <row r="29" spans="2:8" x14ac:dyDescent="0.5">
      <c r="B29" s="1" t="s">
        <v>71</v>
      </c>
      <c r="C29" s="1" t="s">
        <v>72</v>
      </c>
      <c r="D29" s="2">
        <v>40585</v>
      </c>
      <c r="E29" s="1" t="s">
        <v>14</v>
      </c>
      <c r="F29">
        <v>1</v>
      </c>
      <c r="G29">
        <v>10</v>
      </c>
      <c r="H29" s="4">
        <v>1</v>
      </c>
    </row>
  </sheetData>
  <sortState xmlns:xlrd2="http://schemas.microsoft.com/office/spreadsheetml/2017/richdata2" ref="B4:G29">
    <sortCondition descending="1" ref="E4:E29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3E3145-D8C0-B94B-8F7E-FC4A4A58781D}">
  <sheetPr codeName="Sheet2"/>
  <dimension ref="B4:C9"/>
  <sheetViews>
    <sheetView workbookViewId="0">
      <selection activeCell="H20" sqref="H20"/>
    </sheetView>
  </sheetViews>
  <sheetFormatPr defaultColWidth="11" defaultRowHeight="15.75" x14ac:dyDescent="0.5"/>
  <cols>
    <col min="2" max="2" width="13.8125" customWidth="1"/>
  </cols>
  <sheetData>
    <row r="4" spans="2:3" x14ac:dyDescent="0.5">
      <c r="B4" t="s">
        <v>77</v>
      </c>
    </row>
    <row r="5" spans="2:3" x14ac:dyDescent="0.5">
      <c r="B5" t="s">
        <v>78</v>
      </c>
      <c r="C5" s="5">
        <v>45638</v>
      </c>
    </row>
    <row r="6" spans="2:3" x14ac:dyDescent="0.5">
      <c r="B6" t="s">
        <v>79</v>
      </c>
      <c r="C6" s="3">
        <v>0.58333333333333337</v>
      </c>
    </row>
    <row r="7" spans="2:3" x14ac:dyDescent="0.5">
      <c r="B7" t="s">
        <v>84</v>
      </c>
      <c r="C7" s="3">
        <f>SUM(Schedule!F31-Schedule!E6)</f>
        <v>0.18402777777777712</v>
      </c>
    </row>
    <row r="9" spans="2:3" x14ac:dyDescent="0.5">
      <c r="C9" s="3">
        <v>0.5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D6CF99-BBBB-FD47-B9E0-939AE412613C}">
  <sheetPr codeName="Sheet3"/>
  <dimension ref="D5:J33"/>
  <sheetViews>
    <sheetView workbookViewId="0">
      <selection activeCell="J26" sqref="J26"/>
    </sheetView>
  </sheetViews>
  <sheetFormatPr defaultColWidth="11" defaultRowHeight="15.75" x14ac:dyDescent="0.5"/>
  <cols>
    <col min="5" max="5" width="16.8125" customWidth="1"/>
    <col min="7" max="7" width="51.0625" customWidth="1"/>
  </cols>
  <sheetData>
    <row r="5" spans="4:10" x14ac:dyDescent="0.5">
      <c r="D5" t="s">
        <v>80</v>
      </c>
      <c r="E5" t="s">
        <v>81</v>
      </c>
      <c r="F5" t="s">
        <v>82</v>
      </c>
    </row>
    <row r="6" spans="4:10" x14ac:dyDescent="0.5">
      <c r="D6">
        <v>1</v>
      </c>
      <c r="E6" s="3">
        <f>'Create Schedule'!C6</f>
        <v>0.58333333333333337</v>
      </c>
      <c r="F6" s="3">
        <f>E6+TIME(0,'Class 1 '!G4,0)</f>
        <v>0.59375</v>
      </c>
      <c r="G6" t="s">
        <v>93</v>
      </c>
      <c r="I6" s="3"/>
      <c r="J6" s="3"/>
    </row>
    <row r="7" spans="4:10" x14ac:dyDescent="0.5">
      <c r="D7">
        <f>SUM(D6+1)</f>
        <v>2</v>
      </c>
      <c r="E7" s="3">
        <f>F6</f>
        <v>0.59375</v>
      </c>
      <c r="F7" s="3">
        <f>E7+TIME(0,'Class 1 '!G5,0)</f>
        <v>0.60416666666666663</v>
      </c>
      <c r="I7" s="3"/>
      <c r="J7" s="3"/>
    </row>
    <row r="8" spans="4:10" x14ac:dyDescent="0.5">
      <c r="D8">
        <f t="shared" ref="D8:D31" si="0">SUM(D7+1)</f>
        <v>3</v>
      </c>
      <c r="E8" s="3">
        <f t="shared" ref="E8:E31" si="1">F7</f>
        <v>0.60416666666666663</v>
      </c>
      <c r="F8" s="3">
        <f>E8+TIME(0,'Class 1 '!G6,0)</f>
        <v>0.61458333333333326</v>
      </c>
    </row>
    <row r="9" spans="4:10" x14ac:dyDescent="0.5">
      <c r="D9">
        <f t="shared" si="0"/>
        <v>4</v>
      </c>
      <c r="E9" s="3">
        <f t="shared" si="1"/>
        <v>0.61458333333333326</v>
      </c>
      <c r="F9" s="3">
        <f>E9+TIME(0,'Class 1 '!G7,0)</f>
        <v>0.62499999999999989</v>
      </c>
    </row>
    <row r="10" spans="4:10" x14ac:dyDescent="0.5">
      <c r="D10">
        <f t="shared" si="0"/>
        <v>5</v>
      </c>
      <c r="E10" s="3">
        <f t="shared" si="1"/>
        <v>0.62499999999999989</v>
      </c>
      <c r="F10" s="3">
        <f>E10+TIME(0,'Class 1 '!G8,0)</f>
        <v>0.63541666666666652</v>
      </c>
    </row>
    <row r="11" spans="4:10" x14ac:dyDescent="0.5">
      <c r="D11">
        <f t="shared" si="0"/>
        <v>6</v>
      </c>
      <c r="E11" s="3">
        <f t="shared" si="1"/>
        <v>0.63541666666666652</v>
      </c>
      <c r="F11" s="3">
        <f>E11+TIME(0,'Class 1 '!G9,0)</f>
        <v>0.64583333333333315</v>
      </c>
    </row>
    <row r="12" spans="4:10" x14ac:dyDescent="0.5">
      <c r="D12">
        <f t="shared" si="0"/>
        <v>7</v>
      </c>
      <c r="E12" s="3">
        <f t="shared" si="1"/>
        <v>0.64583333333333315</v>
      </c>
      <c r="F12" s="3">
        <f>E12+TIME(0,'Class 1 '!G10,0)</f>
        <v>0.65624999999999978</v>
      </c>
    </row>
    <row r="13" spans="4:10" x14ac:dyDescent="0.5">
      <c r="D13">
        <f t="shared" si="0"/>
        <v>8</v>
      </c>
      <c r="E13" s="3">
        <f t="shared" si="1"/>
        <v>0.65624999999999978</v>
      </c>
      <c r="F13" s="3">
        <f>E13+TIME(0,'Class 1 '!G11,0)</f>
        <v>0.66666666666666641</v>
      </c>
    </row>
    <row r="14" spans="4:10" x14ac:dyDescent="0.5">
      <c r="D14">
        <f t="shared" si="0"/>
        <v>9</v>
      </c>
      <c r="E14" s="3">
        <f t="shared" si="1"/>
        <v>0.66666666666666641</v>
      </c>
      <c r="F14" s="3">
        <f>E14+TIME(0,'Class 1 '!G12,0)</f>
        <v>0.67708333333333304</v>
      </c>
      <c r="G14" t="s">
        <v>94</v>
      </c>
    </row>
    <row r="15" spans="4:10" x14ac:dyDescent="0.5">
      <c r="D15">
        <f t="shared" si="0"/>
        <v>10</v>
      </c>
      <c r="E15" s="3">
        <f t="shared" si="1"/>
        <v>0.67708333333333304</v>
      </c>
      <c r="F15" s="3">
        <f>E15+TIME(0,'Class 1 '!G13,0)</f>
        <v>0.68055555555555525</v>
      </c>
    </row>
    <row r="16" spans="4:10" x14ac:dyDescent="0.5">
      <c r="D16">
        <f t="shared" si="0"/>
        <v>11</v>
      </c>
      <c r="E16" s="3">
        <f t="shared" si="1"/>
        <v>0.68055555555555525</v>
      </c>
      <c r="F16" s="3">
        <f>E16+TIME(0,'Class 1 '!G14,0)</f>
        <v>0.68402777777777746</v>
      </c>
    </row>
    <row r="17" spans="4:7" x14ac:dyDescent="0.5">
      <c r="D17">
        <f t="shared" si="0"/>
        <v>12</v>
      </c>
      <c r="E17" s="3">
        <f t="shared" si="1"/>
        <v>0.68402777777777746</v>
      </c>
      <c r="F17" s="3">
        <f>E17+TIME(0,'Class 1 '!G15,0)</f>
        <v>0.68749999999999967</v>
      </c>
    </row>
    <row r="18" spans="4:7" x14ac:dyDescent="0.5">
      <c r="D18">
        <f t="shared" si="0"/>
        <v>13</v>
      </c>
      <c r="E18" s="3">
        <f t="shared" si="1"/>
        <v>0.68749999999999967</v>
      </c>
      <c r="F18" s="3">
        <f>E18+TIME(0,'Class 1 '!G16,0)</f>
        <v>0.69097222222222188</v>
      </c>
    </row>
    <row r="19" spans="4:7" x14ac:dyDescent="0.5">
      <c r="D19">
        <f t="shared" si="0"/>
        <v>14</v>
      </c>
      <c r="E19" s="3">
        <f t="shared" si="1"/>
        <v>0.69097222222222188</v>
      </c>
      <c r="F19" s="3">
        <f>E19+TIME(0,'Class 1 '!G17,0)</f>
        <v>0.69444444444444409</v>
      </c>
    </row>
    <row r="20" spans="4:7" x14ac:dyDescent="0.5">
      <c r="D20">
        <f t="shared" si="0"/>
        <v>15</v>
      </c>
      <c r="E20" s="3">
        <f t="shared" si="1"/>
        <v>0.69444444444444409</v>
      </c>
      <c r="F20" s="3">
        <f>E20+TIME(0,'Class 1 '!G18,0)</f>
        <v>0.6979166666666663</v>
      </c>
      <c r="G20" t="s">
        <v>95</v>
      </c>
    </row>
    <row r="21" spans="4:7" x14ac:dyDescent="0.5">
      <c r="D21">
        <f t="shared" si="0"/>
        <v>16</v>
      </c>
      <c r="E21" s="3">
        <f t="shared" si="1"/>
        <v>0.6979166666666663</v>
      </c>
      <c r="F21" s="3">
        <f>E21+TIME(0,'Class 1 '!G19,0)</f>
        <v>0.70138888888888851</v>
      </c>
    </row>
    <row r="22" spans="4:7" x14ac:dyDescent="0.5">
      <c r="D22">
        <f t="shared" si="0"/>
        <v>17</v>
      </c>
      <c r="E22" s="3">
        <f t="shared" si="1"/>
        <v>0.70138888888888851</v>
      </c>
      <c r="F22" s="3">
        <f>E22+TIME(0,'Class 1 '!G20,0)</f>
        <v>0.70486111111111072</v>
      </c>
    </row>
    <row r="23" spans="4:7" x14ac:dyDescent="0.5">
      <c r="D23">
        <f t="shared" si="0"/>
        <v>18</v>
      </c>
      <c r="E23" s="3">
        <f t="shared" si="1"/>
        <v>0.70486111111111072</v>
      </c>
      <c r="F23" s="3">
        <f>E23+TIME(0,'Class 1 '!G21,0)</f>
        <v>0.71180555555555514</v>
      </c>
    </row>
    <row r="24" spans="4:7" x14ac:dyDescent="0.5">
      <c r="D24">
        <f t="shared" si="0"/>
        <v>19</v>
      </c>
      <c r="E24" s="3">
        <f t="shared" si="1"/>
        <v>0.71180555555555514</v>
      </c>
      <c r="F24" s="3">
        <f>E24+TIME(0,'Class 1 '!G22,0)</f>
        <v>0.71874999999999956</v>
      </c>
    </row>
    <row r="25" spans="4:7" x14ac:dyDescent="0.5">
      <c r="D25">
        <f t="shared" si="0"/>
        <v>20</v>
      </c>
      <c r="E25" s="3">
        <f t="shared" si="1"/>
        <v>0.71874999999999956</v>
      </c>
      <c r="F25" s="3">
        <f>E25+TIME(0,'Class 1 '!G23,0)</f>
        <v>0.72569444444444398</v>
      </c>
    </row>
    <row r="26" spans="4:7" x14ac:dyDescent="0.5">
      <c r="D26">
        <f t="shared" si="0"/>
        <v>21</v>
      </c>
      <c r="E26" s="3">
        <f t="shared" si="1"/>
        <v>0.72569444444444398</v>
      </c>
      <c r="F26" s="3">
        <f>E26+TIME(0,'Class 1 '!G24,0)</f>
        <v>0.7326388888888884</v>
      </c>
    </row>
    <row r="27" spans="4:7" x14ac:dyDescent="0.5">
      <c r="D27">
        <f t="shared" si="0"/>
        <v>22</v>
      </c>
      <c r="E27" s="3">
        <f t="shared" si="1"/>
        <v>0.7326388888888884</v>
      </c>
      <c r="F27" s="3">
        <f>E27+TIME(0,'Class 1 '!G25,0)</f>
        <v>0.73958333333333282</v>
      </c>
    </row>
    <row r="28" spans="4:7" x14ac:dyDescent="0.5">
      <c r="D28">
        <f t="shared" si="0"/>
        <v>23</v>
      </c>
      <c r="E28" s="3">
        <f t="shared" si="1"/>
        <v>0.73958333333333282</v>
      </c>
      <c r="F28" s="3">
        <f>E28+TIME(0,'Class 1 '!G26,0)</f>
        <v>0.74652777777777724</v>
      </c>
    </row>
    <row r="29" spans="4:7" x14ac:dyDescent="0.5">
      <c r="D29">
        <f t="shared" si="0"/>
        <v>24</v>
      </c>
      <c r="E29" s="3">
        <f t="shared" si="1"/>
        <v>0.74652777777777724</v>
      </c>
      <c r="F29" s="3">
        <f>E29+TIME(0,'Class 1 '!G27,0)</f>
        <v>0.75347222222222165</v>
      </c>
    </row>
    <row r="30" spans="4:7" x14ac:dyDescent="0.5">
      <c r="D30">
        <f t="shared" si="0"/>
        <v>25</v>
      </c>
      <c r="E30" s="3">
        <f t="shared" si="1"/>
        <v>0.75347222222222165</v>
      </c>
      <c r="F30" s="3">
        <f>E30+TIME(0,'Class 1 '!G28,0)</f>
        <v>0.76041666666666607</v>
      </c>
    </row>
    <row r="31" spans="4:7" x14ac:dyDescent="0.5">
      <c r="D31">
        <f t="shared" si="0"/>
        <v>26</v>
      </c>
      <c r="E31" s="3">
        <f t="shared" si="1"/>
        <v>0.76041666666666607</v>
      </c>
      <c r="F31" s="3">
        <f>E31+TIME(0,'Class 1 '!G29,0)</f>
        <v>0.76736111111111049</v>
      </c>
    </row>
    <row r="33" spans="5:6" x14ac:dyDescent="0.5">
      <c r="E33" t="s">
        <v>83</v>
      </c>
      <c r="F33" s="3">
        <f>SUM(F31-E6)</f>
        <v>0.18402777777777712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D95EE-96BF-5C4D-AC3B-32AF9A552360}">
  <sheetPr codeName="Sheet4"/>
  <dimension ref="B3:H34"/>
  <sheetViews>
    <sheetView workbookViewId="0">
      <selection activeCell="I9" sqref="I9"/>
    </sheetView>
  </sheetViews>
  <sheetFormatPr defaultColWidth="11" defaultRowHeight="15.75" x14ac:dyDescent="0.5"/>
  <cols>
    <col min="2" max="2" width="15.1875" customWidth="1"/>
  </cols>
  <sheetData>
    <row r="3" spans="2:8" x14ac:dyDescent="0.5">
      <c r="B3" t="s">
        <v>85</v>
      </c>
    </row>
    <row r="4" spans="2:8" x14ac:dyDescent="0.5">
      <c r="B4" t="s">
        <v>86</v>
      </c>
      <c r="C4" s="1" t="s">
        <v>5</v>
      </c>
    </row>
    <row r="5" spans="2:8" x14ac:dyDescent="0.5">
      <c r="B5" t="s">
        <v>87</v>
      </c>
      <c r="C5">
        <f>VLOOKUP(C4,'Class 1 '!B4:H29,7,FALSE)</f>
        <v>1</v>
      </c>
    </row>
    <row r="6" spans="2:8" x14ac:dyDescent="0.5">
      <c r="B6" t="s">
        <v>88</v>
      </c>
      <c r="C6">
        <f>VLOOKUP(C4,'Class 1 '!B3:G29,6,FALSE)</f>
        <v>5</v>
      </c>
    </row>
    <row r="8" spans="2:8" x14ac:dyDescent="0.5">
      <c r="G8" t="s">
        <v>90</v>
      </c>
    </row>
    <row r="9" spans="2:8" x14ac:dyDescent="0.5">
      <c r="E9" s="3" cm="1">
        <f t="array" ref="E9:F34">Schedule!E6:F31</f>
        <v>0.58333333333333337</v>
      </c>
      <c r="F9" s="3">
        <v>0.59375</v>
      </c>
      <c r="G9" cm="1">
        <f t="array" ref="G9:G34">'Class 1 '!G4:G29</f>
        <v>15</v>
      </c>
      <c r="H9" t="str">
        <f>IF(G9=$C$6,"","not avalible")</f>
        <v>not avalible</v>
      </c>
    </row>
    <row r="10" spans="2:8" x14ac:dyDescent="0.5">
      <c r="E10" s="3">
        <v>0.59375</v>
      </c>
      <c r="F10" s="3">
        <v>0.60416666666666663</v>
      </c>
      <c r="G10">
        <v>15</v>
      </c>
      <c r="H10" t="str">
        <f t="shared" ref="H10:H34" si="0">IF(G10=$C$6,"","not avalible")</f>
        <v>not avalible</v>
      </c>
    </row>
    <row r="11" spans="2:8" x14ac:dyDescent="0.5">
      <c r="E11" s="3">
        <v>0.60416666666666663</v>
      </c>
      <c r="F11" s="3">
        <v>0.61458333333333326</v>
      </c>
      <c r="G11">
        <v>15</v>
      </c>
      <c r="H11" t="str">
        <f t="shared" si="0"/>
        <v>not avalible</v>
      </c>
    </row>
    <row r="12" spans="2:8" x14ac:dyDescent="0.5">
      <c r="E12" s="3">
        <v>0.61458333333333326</v>
      </c>
      <c r="F12" s="3">
        <v>0.62499999999999989</v>
      </c>
      <c r="G12">
        <v>15</v>
      </c>
      <c r="H12" t="str">
        <f t="shared" si="0"/>
        <v>not avalible</v>
      </c>
    </row>
    <row r="13" spans="2:8" x14ac:dyDescent="0.5">
      <c r="E13" s="3">
        <v>0.62499999999999989</v>
      </c>
      <c r="F13" s="3">
        <v>0.63541666666666652</v>
      </c>
      <c r="G13">
        <v>15</v>
      </c>
      <c r="H13" t="str">
        <f t="shared" si="0"/>
        <v>not avalible</v>
      </c>
    </row>
    <row r="14" spans="2:8" x14ac:dyDescent="0.5">
      <c r="E14" s="3">
        <v>0.63541666666666652</v>
      </c>
      <c r="F14" s="3">
        <v>0.64583333333333315</v>
      </c>
      <c r="G14">
        <v>15</v>
      </c>
      <c r="H14" t="str">
        <f t="shared" si="0"/>
        <v>not avalible</v>
      </c>
    </row>
    <row r="15" spans="2:8" x14ac:dyDescent="0.5">
      <c r="E15" s="3">
        <v>0.64583333333333315</v>
      </c>
      <c r="F15" s="3">
        <v>0.65624999999999978</v>
      </c>
      <c r="G15">
        <v>15</v>
      </c>
      <c r="H15" t="str">
        <f t="shared" si="0"/>
        <v>not avalible</v>
      </c>
    </row>
    <row r="16" spans="2:8" x14ac:dyDescent="0.5">
      <c r="E16" s="3">
        <v>0.65624999999999978</v>
      </c>
      <c r="F16" s="3">
        <v>0.66666666666666641</v>
      </c>
      <c r="G16">
        <v>15</v>
      </c>
      <c r="H16" t="str">
        <f t="shared" si="0"/>
        <v>not avalible</v>
      </c>
    </row>
    <row r="17" spans="5:8" x14ac:dyDescent="0.5">
      <c r="E17" s="3">
        <v>0.66666666666666641</v>
      </c>
      <c r="F17" s="3">
        <v>0.67708333333333304</v>
      </c>
      <c r="G17">
        <v>15</v>
      </c>
      <c r="H17" t="str">
        <f t="shared" si="0"/>
        <v>not avalible</v>
      </c>
    </row>
    <row r="18" spans="5:8" x14ac:dyDescent="0.5">
      <c r="E18" s="3">
        <v>0.67708333333333304</v>
      </c>
      <c r="F18" s="3">
        <v>0.68055555555555525</v>
      </c>
      <c r="G18">
        <v>5</v>
      </c>
      <c r="H18" t="str">
        <f t="shared" si="0"/>
        <v/>
      </c>
    </row>
    <row r="19" spans="5:8" x14ac:dyDescent="0.5">
      <c r="E19" s="3">
        <v>0.68055555555555525</v>
      </c>
      <c r="F19" s="3">
        <v>0.68402777777777746</v>
      </c>
      <c r="G19">
        <v>5</v>
      </c>
      <c r="H19" t="str">
        <f t="shared" si="0"/>
        <v/>
      </c>
    </row>
    <row r="20" spans="5:8" x14ac:dyDescent="0.5">
      <c r="E20" s="3">
        <v>0.68402777777777746</v>
      </c>
      <c r="F20" s="3">
        <v>0.68749999999999967</v>
      </c>
      <c r="G20">
        <v>5</v>
      </c>
      <c r="H20" t="str">
        <f t="shared" si="0"/>
        <v/>
      </c>
    </row>
    <row r="21" spans="5:8" x14ac:dyDescent="0.5">
      <c r="E21" s="3">
        <v>0.68749999999999967</v>
      </c>
      <c r="F21" s="3">
        <v>0.69097222222222188</v>
      </c>
      <c r="G21">
        <v>5</v>
      </c>
      <c r="H21" t="str">
        <f t="shared" si="0"/>
        <v/>
      </c>
    </row>
    <row r="22" spans="5:8" x14ac:dyDescent="0.5">
      <c r="E22" s="3">
        <v>0.69097222222222188</v>
      </c>
      <c r="F22" s="3">
        <v>0.69444444444444409</v>
      </c>
      <c r="G22">
        <v>5</v>
      </c>
      <c r="H22" t="str">
        <f t="shared" si="0"/>
        <v/>
      </c>
    </row>
    <row r="23" spans="5:8" x14ac:dyDescent="0.5">
      <c r="E23" s="3">
        <v>0.69444444444444409</v>
      </c>
      <c r="F23" s="3">
        <v>0.6979166666666663</v>
      </c>
      <c r="G23">
        <v>5</v>
      </c>
      <c r="H23" t="str">
        <f t="shared" si="0"/>
        <v/>
      </c>
    </row>
    <row r="24" spans="5:8" x14ac:dyDescent="0.5">
      <c r="E24" s="3">
        <v>0.6979166666666663</v>
      </c>
      <c r="F24" s="3">
        <v>0.70138888888888851</v>
      </c>
      <c r="G24">
        <v>5</v>
      </c>
      <c r="H24" t="str">
        <f t="shared" si="0"/>
        <v/>
      </c>
    </row>
    <row r="25" spans="5:8" x14ac:dyDescent="0.5">
      <c r="E25" s="3">
        <v>0.70138888888888851</v>
      </c>
      <c r="F25" s="3">
        <v>0.70486111111111072</v>
      </c>
      <c r="G25">
        <v>5</v>
      </c>
      <c r="H25" t="str">
        <f t="shared" si="0"/>
        <v/>
      </c>
    </row>
    <row r="26" spans="5:8" x14ac:dyDescent="0.5">
      <c r="E26" s="3">
        <v>0.70486111111111072</v>
      </c>
      <c r="F26" s="3">
        <v>0.71180555555555514</v>
      </c>
      <c r="G26">
        <v>10</v>
      </c>
      <c r="H26" t="str">
        <f t="shared" si="0"/>
        <v>not avalible</v>
      </c>
    </row>
    <row r="27" spans="5:8" x14ac:dyDescent="0.5">
      <c r="E27" s="3">
        <v>0.71180555555555514</v>
      </c>
      <c r="F27" s="3">
        <v>0.71874999999999956</v>
      </c>
      <c r="G27">
        <v>10</v>
      </c>
      <c r="H27" t="str">
        <f t="shared" si="0"/>
        <v>not avalible</v>
      </c>
    </row>
    <row r="28" spans="5:8" x14ac:dyDescent="0.5">
      <c r="E28" s="3">
        <v>0.71874999999999956</v>
      </c>
      <c r="F28" s="3">
        <v>0.72569444444444398</v>
      </c>
      <c r="G28">
        <v>10</v>
      </c>
      <c r="H28" t="str">
        <f t="shared" si="0"/>
        <v>not avalible</v>
      </c>
    </row>
    <row r="29" spans="5:8" x14ac:dyDescent="0.5">
      <c r="E29" s="3">
        <v>0.72569444444444398</v>
      </c>
      <c r="F29" s="3">
        <v>0.7326388888888884</v>
      </c>
      <c r="G29">
        <v>10</v>
      </c>
      <c r="H29" t="str">
        <f t="shared" si="0"/>
        <v>not avalible</v>
      </c>
    </row>
    <row r="30" spans="5:8" x14ac:dyDescent="0.5">
      <c r="E30" s="3">
        <v>0.7326388888888884</v>
      </c>
      <c r="F30" s="3">
        <v>0.73958333333333282</v>
      </c>
      <c r="G30">
        <v>10</v>
      </c>
      <c r="H30" t="str">
        <f t="shared" si="0"/>
        <v>not avalible</v>
      </c>
    </row>
    <row r="31" spans="5:8" x14ac:dyDescent="0.5">
      <c r="E31" s="3">
        <v>0.73958333333333282</v>
      </c>
      <c r="F31" s="3">
        <v>0.74652777777777724</v>
      </c>
      <c r="G31">
        <v>10</v>
      </c>
      <c r="H31" t="str">
        <f t="shared" si="0"/>
        <v>not avalible</v>
      </c>
    </row>
    <row r="32" spans="5:8" x14ac:dyDescent="0.5">
      <c r="E32" s="3">
        <v>0.74652777777777724</v>
      </c>
      <c r="F32" s="3">
        <v>0.75347222222222165</v>
      </c>
      <c r="G32">
        <v>10</v>
      </c>
      <c r="H32" t="str">
        <f t="shared" si="0"/>
        <v>not avalible</v>
      </c>
    </row>
    <row r="33" spans="5:8" x14ac:dyDescent="0.5">
      <c r="E33" s="3">
        <v>0.75347222222222165</v>
      </c>
      <c r="F33" s="3">
        <v>0.76041666666666607</v>
      </c>
      <c r="G33">
        <v>10</v>
      </c>
      <c r="H33" t="str">
        <f t="shared" si="0"/>
        <v>not avalible</v>
      </c>
    </row>
    <row r="34" spans="5:8" x14ac:dyDescent="0.5">
      <c r="E34" s="3">
        <v>0.76041666666666607</v>
      </c>
      <c r="F34" s="3">
        <v>0.76736111111111049</v>
      </c>
      <c r="G34">
        <v>10</v>
      </c>
      <c r="H34" t="str">
        <f t="shared" si="0"/>
        <v>not avalible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DropDown="1" showInputMessage="1" showErrorMessage="1" errorTitle="Error" error="Invalid name " promptTitle="Student Name " xr:uid="{BA686DBF-2436-2741-9662-8CD78A04C3BA}">
          <x14:formula1>
            <xm:f>'Class 1 '!$B$4:$B$29</xm:f>
          </x14:formula1>
          <xm:sqref>C4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Class 1 </vt:lpstr>
      <vt:lpstr>Create Schedule</vt:lpstr>
      <vt:lpstr>Schedule</vt:lpstr>
      <vt:lpstr>PARENTS</vt:lpstr>
      <vt:lpstr>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Sammi Roe (15068105)</dc:creator>
  <cp:lastModifiedBy>Sammi Roe</cp:lastModifiedBy>
  <dcterms:created xsi:type="dcterms:W3CDTF">2024-01-24T10:22:55Z</dcterms:created>
  <dcterms:modified xsi:type="dcterms:W3CDTF">2024-05-09T09:07:34Z</dcterms:modified>
</cp:coreProperties>
</file>